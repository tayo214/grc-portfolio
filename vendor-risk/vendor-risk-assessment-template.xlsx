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Intake Form" sheetId="1" state="visible" r:id="rId3"/>
    <sheet name="Control Assessment" sheetId="2" state="visible" r:id="rId4"/>
    <sheet name="Scoring Summary" sheetId="3" state="visible" r:id="rId5"/>
    <sheet name="Risk Regi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<sst xmlns="http://schemas.openxmlformats.org/spreadsheetml/2006/main" count="304" uniqueCount="189">
  <si>
    <t xml:space="preserve">Third-Party Vendor Risk Assessment — Intake Form</t>
  </si>
  <si>
    <t xml:space="preserve">Prepared by: Babatunde Salako  |  Cloud Security Engineer  |  Security+  |  Version 1.0</t>
  </si>
  <si>
    <t xml:space="preserve">  SECTION 1 — Vendor Profile</t>
  </si>
  <si>
    <t xml:space="preserve">Vendor Name:</t>
  </si>
  <si>
    <t xml:space="preserve">[Enter]</t>
  </si>
  <si>
    <t xml:space="preserve">Assessment Date:</t>
  </si>
  <si>
    <t xml:space="preserve">Primary Contact:</t>
  </si>
  <si>
    <t xml:space="preserve">Contact Email:</t>
  </si>
  <si>
    <t xml:space="preserve">Service / Product:</t>
  </si>
  <si>
    <t xml:space="preserve">Contract Term:</t>
  </si>
  <si>
    <t xml:space="preserve">Vendor Website:</t>
  </si>
  <si>
    <t xml:space="preserve">Existing Vendor?</t>
  </si>
  <si>
    <t xml:space="preserve">Yes / No</t>
  </si>
  <si>
    <t xml:space="preserve">  SECTION 2 — Data and System Access</t>
  </si>
  <si>
    <t xml:space="preserve">Data Types Accessed:</t>
  </si>
  <si>
    <t xml:space="preserve">[Enter — e.g. PII, financial, internal]</t>
  </si>
  <si>
    <t xml:space="preserve">Production Access?</t>
  </si>
  <si>
    <t xml:space="preserve">Network Access Required?</t>
  </si>
  <si>
    <t xml:space="preserve">Data Residency:</t>
  </si>
  <si>
    <t xml:space="preserve">[Enter country / region]</t>
  </si>
  <si>
    <t xml:space="preserve">Sub-processors Used?</t>
  </si>
  <si>
    <t xml:space="preserve">Sub-processor List Available?</t>
  </si>
  <si>
    <t xml:space="preserve">  SECTION 3 — Initial Risk Tier (Complete Before Full Assessment)</t>
  </si>
  <si>
    <t xml:space="preserve">Risk Factor</t>
  </si>
  <si>
    <t xml:space="preserve">Criteria</t>
  </si>
  <si>
    <t xml:space="preserve">Tier 1 — Critical</t>
  </si>
  <si>
    <t xml:space="preserve">Tier 2 — High</t>
  </si>
  <si>
    <t xml:space="preserve">Tier 3 — Medium</t>
  </si>
  <si>
    <t xml:space="preserve">Tier 4 — Low</t>
  </si>
  <si>
    <t xml:space="preserve">Assigned Tier</t>
  </si>
  <si>
    <t xml:space="preserve">Data Sensitivity</t>
  </si>
  <si>
    <t xml:space="preserve">What type of data does the vendor access or process?</t>
  </si>
  <si>
    <t xml:space="preserve">Regulated data (PII, PHI, financial)</t>
  </si>
  <si>
    <t xml:space="preserve">Confidential internal data</t>
  </si>
  <si>
    <t xml:space="preserve">Internal non-sensitive data</t>
  </si>
  <si>
    <t xml:space="preserve">Public data only</t>
  </si>
  <si>
    <t xml:space="preserve">[Select: 1/2/3/4]</t>
  </si>
  <si>
    <t xml:space="preserve">System Access</t>
  </si>
  <si>
    <t xml:space="preserve">Does the vendor have direct access to production systems or networks?</t>
  </si>
  <si>
    <t xml:space="preserve">Direct prod system + network access</t>
  </si>
  <si>
    <t xml:space="preserve">Read-only prod access</t>
  </si>
  <si>
    <t xml:space="preserve">Non-prod / staging access only</t>
  </si>
  <si>
    <t xml:space="preserve">No system access</t>
  </si>
  <si>
    <t xml:space="preserve">Business Criticality</t>
  </si>
  <si>
    <t xml:space="preserve">How critical is this vendor to business operations?</t>
  </si>
  <si>
    <t xml:space="preserve">Single point of failure / no alternative</t>
  </si>
  <si>
    <t xml:space="preserve">High dependency, alternatives exist</t>
  </si>
  <si>
    <t xml:space="preserve">Moderate dependency</t>
  </si>
  <si>
    <t xml:space="preserve">Low / easily replaceable</t>
  </si>
  <si>
    <t xml:space="preserve">Data Volume</t>
  </si>
  <si>
    <t xml:space="preserve">Volume of records the vendor processes or stores?</t>
  </si>
  <si>
    <t xml:space="preserve">100,000+ records</t>
  </si>
  <si>
    <t xml:space="preserve">10,000 – 99,999 records</t>
  </si>
  <si>
    <t xml:space="preserve">1,000 – 9,999 records</t>
  </si>
  <si>
    <t xml:space="preserve">Under 1,000 records</t>
  </si>
  <si>
    <t xml:space="preserve">Regulatory Scope</t>
  </si>
  <si>
    <t xml:space="preserve">Is the vendor in scope for a compliance framework?</t>
  </si>
  <si>
    <t xml:space="preserve">In scope for SOC 2, HIPAA, PCI DSS</t>
  </si>
  <si>
    <t xml:space="preserve">In scope for GDPR / CCPA</t>
  </si>
  <si>
    <t xml:space="preserve">Contractual obligations only</t>
  </si>
  <si>
    <t xml:space="preserve">No regulatory scope</t>
  </si>
  <si>
    <t xml:space="preserve">  SECTION 4 — Tier Summary and Approval Routing</t>
  </si>
  <si>
    <t xml:space="preserve">Highest Tier Assigned:</t>
  </si>
  <si>
    <t xml:space="preserve">[Auto-determined from Section 3 — enter manually]</t>
  </si>
  <si>
    <t xml:space="preserve">Assessment Depth Required:</t>
  </si>
  <si>
    <t xml:space="preserve">Tier 1: Full assessment  |  Tier 2: Standard  |  Tier 3: Lite  |  Tier 4: Self-attestation</t>
  </si>
  <si>
    <t xml:space="preserve">Assigned Reviewer:</t>
  </si>
  <si>
    <t xml:space="preserve">[Enter name]</t>
  </si>
  <si>
    <t xml:space="preserve">Target Completion Date:</t>
  </si>
  <si>
    <t xml:space="preserve">[Enter date]</t>
  </si>
  <si>
    <t xml:space="preserve">Approval Required From:</t>
  </si>
  <si>
    <t xml:space="preserve">Tier 1-2: CISO / Security Lead  |  Tier 3-4: Security Analyst</t>
  </si>
  <si>
    <t xml:space="preserve">Third-Party Vendor Risk Assessment — Control Evaluation</t>
  </si>
  <si>
    <t xml:space="preserve">Each domain scored 1–5 per question. Score auto-calculates. Use Evidence column to document artifacts received.</t>
  </si>
  <si>
    <t xml:space="preserve">Scoring Guide:  5 = Fully implemented with evidence   |   4 = Implemented, minor gaps   |   3 = Partial implementation   |   2 = Planned / in progress   |   1 = Not implemented</t>
  </si>
  <si>
    <t xml:space="preserve">Domain</t>
  </si>
  <si>
    <t xml:space="preserve">Control Question</t>
  </si>
  <si>
    <t xml:space="preserve">Expected Evidence</t>
  </si>
  <si>
    <t xml:space="preserve">Response</t>
  </si>
  <si>
    <t xml:space="preserve">Score
(1–5)</t>
  </si>
  <si>
    <t xml:space="preserve">Evidence Received</t>
  </si>
  <si>
    <t xml:space="preserve">Gaps / Notes</t>
  </si>
  <si>
    <t xml:space="preserve">Risk Rating</t>
  </si>
  <si>
    <t xml:space="preserve">Weight</t>
  </si>
  <si>
    <t xml:space="preserve">Access Control</t>
  </si>
  <si>
    <t xml:space="preserve">Does the vendor enforce MFA for all users with access to systems processing your data?</t>
  </si>
  <si>
    <t xml:space="preserve">MFA policy, SSO configuration screenshot or audit report</t>
  </si>
  <si>
    <t xml:space="preserve">Yes / No / Partial</t>
  </si>
  <si>
    <t xml:space="preserve">1.0</t>
  </si>
  <si>
    <t xml:space="preserve">Does the vendor apply least-privilege access controls and conduct periodic access reviews?</t>
  </si>
  <si>
    <t xml:space="preserve">IAM policy documentation, access review records</t>
  </si>
  <si>
    <t xml:space="preserve">Does the vendor have a formal user provisioning and de-provisioning process?</t>
  </si>
  <si>
    <t xml:space="preserve">Joiner/mover/leaver procedure, sample offboarding record</t>
  </si>
  <si>
    <t xml:space="preserve">Is privileged (admin) access restricted, monitored, and logged?</t>
  </si>
  <si>
    <t xml:space="preserve">PAM policy, privileged access audit logs</t>
  </si>
  <si>
    <t xml:space="preserve">Data Protection</t>
  </si>
  <si>
    <t xml:space="preserve">Is data encrypted at rest using industry-standard algorithms (AES-256 or equivalent)?</t>
  </si>
  <si>
    <t xml:space="preserve">Encryption policy, KMS or HSM configuration evidence</t>
  </si>
  <si>
    <t xml:space="preserve">Is data encrypted in transit (TLS 1.2 or higher)?</t>
  </si>
  <si>
    <t xml:space="preserve">TLS certificate scan, network policy documentation</t>
  </si>
  <si>
    <t xml:space="preserve">Does the vendor have a data retention and disposal policy?</t>
  </si>
  <si>
    <t xml:space="preserve">Retention policy document, secure disposal procedure</t>
  </si>
  <si>
    <t xml:space="preserve">Does the vendor maintain a data classification scheme?</t>
  </si>
  <si>
    <t xml:space="preserve">Data classification policy, data inventory excerpt</t>
  </si>
  <si>
    <t xml:space="preserve">Vulnerability Mgmt</t>
  </si>
  <si>
    <t xml:space="preserve">Does the vendor have a documented vulnerability management program with defined SLAs?</t>
  </si>
  <si>
    <t xml:space="preserve">Vulnerability management policy, remediation SLA documentation</t>
  </si>
  <si>
    <t xml:space="preserve">Are vulnerability scans conducted on a regular schedule (internal and external)?</t>
  </si>
  <si>
    <t xml:space="preserve">Scan schedule, recent scan summary (redacted acceptable)</t>
  </si>
  <si>
    <t xml:space="preserve">Does the vendor conduct or commission annual penetration testing?</t>
  </si>
  <si>
    <t xml:space="preserve">Pentest executive summary or attestation letter</t>
  </si>
  <si>
    <t xml:space="preserve">Is patch management enforced with defined timelines for critical vulnerabilities?</t>
  </si>
  <si>
    <t xml:space="preserve">Patch management policy, patch compliance report</t>
  </si>
  <si>
    <t xml:space="preserve">Audit Logging</t>
  </si>
  <si>
    <t xml:space="preserve">Are audit logs maintained for all access to systems and data within scope?</t>
  </si>
  <si>
    <t xml:space="preserve">Logging policy, SIEM architecture overview</t>
  </si>
  <si>
    <t xml:space="preserve">Are logs protected from tampering and retained per a defined retention policy?</t>
  </si>
  <si>
    <t xml:space="preserve">Log integrity controls, retention schedule</t>
  </si>
  <si>
    <t xml:space="preserve">Are security alerts configured for anomalous events (unauthorized access, privilege escalation)?</t>
  </si>
  <si>
    <t xml:space="preserve">Alert configuration overview, sample alert evidence</t>
  </si>
  <si>
    <t xml:space="preserve">Incident Response</t>
  </si>
  <si>
    <t xml:space="preserve">Does the vendor have a documented Incident Response Plan reviewed in the past 12 months?</t>
  </si>
  <si>
    <t xml:space="preserve">IRP document or attestation, review date</t>
  </si>
  <si>
    <t xml:space="preserve">Does the vendor conduct tabletop exercises or IR simulations?</t>
  </si>
  <si>
    <t xml:space="preserve">Exercise schedule, after-action report (redacted)</t>
  </si>
  <si>
    <t xml:space="preserve">Does the vendor have defined customer notification SLAs for security incidents?</t>
  </si>
  <si>
    <t xml:space="preserve">Customer notification clause in contract or policy</t>
  </si>
  <si>
    <t xml:space="preserve">Does the vendor maintain a documented Business Continuity / Disaster Recovery plan?</t>
  </si>
  <si>
    <t xml:space="preserve">BCP/DR document, most recent test date and results</t>
  </si>
  <si>
    <t xml:space="preserve">Compliance</t>
  </si>
  <si>
    <t xml:space="preserve">Does the vendor hold a current SOC 2 Type 2 report?</t>
  </si>
  <si>
    <t xml:space="preserve">SOC 2 Type 2 report (full or bridge letter)</t>
  </si>
  <si>
    <t xml:space="preserve">Yes / No / In Progress</t>
  </si>
  <si>
    <t xml:space="preserve">Does the vendor hold ISO 27001 certification or equivalent?</t>
  </si>
  <si>
    <t xml:space="preserve">ISO 27001 certificate with expiration date</t>
  </si>
  <si>
    <t xml:space="preserve">Does the vendor maintain a formal risk management program?</t>
  </si>
  <si>
    <t xml:space="preserve">Risk register sample, risk management policy</t>
  </si>
  <si>
    <t xml:space="preserve">Are security policies reviewed and updated at least annually?</t>
  </si>
  <si>
    <t xml:space="preserve">Policy review log, version history</t>
  </si>
  <si>
    <t xml:space="preserve">Sub-processor Risk</t>
  </si>
  <si>
    <t xml:space="preserve">Does the vendor use sub-processors that have access to your data?</t>
  </si>
  <si>
    <t xml:space="preserve">Sub-processor list, contractual flow-down clauses</t>
  </si>
  <si>
    <t xml:space="preserve">Are sub-processors subject to the same security requirements as the primary vendor?</t>
  </si>
  <si>
    <t xml:space="preserve">Sub-processor agreement, security requirement clauses</t>
  </si>
  <si>
    <t xml:space="preserve">Does the vendor notify customers of material changes to sub-processors?</t>
  </si>
  <si>
    <t xml:space="preserve">Change notification policy or contract clause</t>
  </si>
  <si>
    <t xml:space="preserve">Third-Party Vendor Risk Assessment — Scoring Summary</t>
  </si>
  <si>
    <t xml:space="preserve">Domain scores auto-calculate from Control Assessment sheet. Overall risk rating determines approval routing.</t>
  </si>
  <si>
    <t xml:space="preserve">Controls in Domain</t>
  </si>
  <si>
    <t xml:space="preserve">Average Score</t>
  </si>
  <si>
    <t xml:space="preserve">Domain Risk Rating</t>
  </si>
  <si>
    <t xml:space="preserve">Recommended Action</t>
  </si>
  <si>
    <t xml:space="preserve">OVERALL VENDOR RISK SCORE</t>
  </si>
  <si>
    <t xml:space="preserve">Reviewer Name:</t>
  </si>
  <si>
    <t xml:space="preserve">Review Date:</t>
  </si>
  <si>
    <t xml:space="preserve">Decision:</t>
  </si>
  <si>
    <t xml:space="preserve">Approved / Conditional / Rejected</t>
  </si>
  <si>
    <t xml:space="preserve">Approver Sign-off:</t>
  </si>
  <si>
    <t xml:space="preserve">[Enter name and title]</t>
  </si>
  <si>
    <t xml:space="preserve">Next Review Due:</t>
  </si>
  <si>
    <t xml:space="preserve">[Enter date — Tier 1: 6 months  Tier 2: 12 months  Tier 3: 18 months]</t>
  </si>
  <si>
    <t xml:space="preserve">Third-Party Vendor Risk Register</t>
  </si>
  <si>
    <t xml:space="preserve">Log identified risks, ownership, and remediation status. Update after each assessment cycle.</t>
  </si>
  <si>
    <t xml:space="preserve">Risk ID</t>
  </si>
  <si>
    <t xml:space="preserve">Vendor Name</t>
  </si>
  <si>
    <t xml:space="preserve">Risk Description</t>
  </si>
  <si>
    <t xml:space="preserve">Inherent Risk</t>
  </si>
  <si>
    <t xml:space="preserve">Control Gap</t>
  </si>
  <si>
    <t xml:space="preserve">Residual Risk</t>
  </si>
  <si>
    <t xml:space="preserve">Owner</t>
  </si>
  <si>
    <t xml:space="preserve">Target Remediation Date</t>
  </si>
  <si>
    <t xml:space="preserve">VR-001</t>
  </si>
  <si>
    <t xml:space="preserve">[Vendor Name]</t>
  </si>
  <si>
    <t xml:space="preserve">High</t>
  </si>
  <si>
    <t xml:space="preserve">MFA not enforced organization-wide; only selectively applied</t>
  </si>
  <si>
    <t xml:space="preserve">[Owner]</t>
  </si>
  <si>
    <t xml:space="preserve">[Date]</t>
  </si>
  <si>
    <t xml:space="preserve">VR-002</t>
  </si>
  <si>
    <t xml:space="preserve">Vendor SOC 2 Type 2 report is older than 12 months; bridge letter not provided</t>
  </si>
  <si>
    <t xml:space="preserve">No current assurance coverage for recent period</t>
  </si>
  <si>
    <t xml:space="preserve">Medium</t>
  </si>
  <si>
    <t xml:space="preserve">VR-003</t>
  </si>
  <si>
    <t xml:space="preserve">Vendor cannot confirm encryption at rest for backup data</t>
  </si>
  <si>
    <t xml:space="preserve">VR-004</t>
  </si>
  <si>
    <t xml:space="preserve">No defined customer notification SLA documented in contract or policy</t>
  </si>
  <si>
    <t xml:space="preserve">Incident response plan exists but lacks customer comms clause</t>
  </si>
  <si>
    <t xml:space="preserve">VR-005</t>
  </si>
  <si>
    <t xml:space="preserve">Vendor uses sub-processors but has not provided a complete list</t>
  </si>
  <si>
    <t xml:space="preserve">Sub-processor inventory not maintained or disclosed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</si>
</sst>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2F5597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4472C4"/>
      </patternFill>
    </fill>
    <fill>
      <patternFill patternType="solid">
        <fgColor rgb="FF4472C4"/>
        <bgColor rgb="FF2F5597"/>
      </patternFill>
    </fill>
    <fill>
      <patternFill patternType="solid">
        <fgColor rgb="FFD6E4F7"/>
        <bgColor rgb="FFCFE2F3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EF4FB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  <fill>
      <patternFill patternType="solid">
        <fgColor rgb="FFCFE2F3"/>
        <bgColor rgb="FFD6E4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medium">
        <color rgb="FF4472C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EEF4FB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CE4D6"/>
      <rgbColor rgb="FFCFE2F3"/>
      <rgbColor rgb="FFF2F2F2"/>
      <rgbColor rgb="FFCC99FF"/>
      <rgbColor rgb="FFEAD1DC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6" min="3" style="0" width="18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>
      <c r="A4" s="4" t="s">
        <v>3</v>
      </c>
      <c r="B4" s="5" t="s">
        <v>4</v>
      </c>
      <c r="C4" s="4" t="s">
        <v>5</v>
      </c>
      <c r="D4" s="5" t="s">
        <v>4</v>
      </c>
    </row>
    <row r="5" customFormat="false" ht="21.75" hidden="false" customHeight="true" outlineLevel="0" collapsed="false">
      <c r="A5" s="4" t="s">
        <v>6</v>
      </c>
      <c r="B5" s="5" t="s">
        <v>4</v>
      </c>
      <c r="C5" s="4" t="s">
        <v>7</v>
      </c>
      <c r="D5" s="5" t="s">
        <v>4</v>
      </c>
    </row>
    <row r="6" customFormat="false" ht="21.75" hidden="false" customHeight="true" outlineLevel="0" collapsed="false">
      <c r="A6" s="4" t="s">
        <v>8</v>
      </c>
      <c r="B6" s="5" t="s">
        <v>4</v>
      </c>
      <c r="C6" s="4" t="s">
        <v>9</v>
      </c>
      <c r="D6" s="5" t="s">
        <v>4</v>
      </c>
    </row>
    <row r="7" customFormat="false" ht="21.75" hidden="false" customHeight="true" outlineLevel="0" collapsed="false">
      <c r="A7" s="4" t="s">
        <v>10</v>
      </c>
      <c r="B7" s="5" t="s">
        <v>4</v>
      </c>
      <c r="C7" s="4" t="s">
        <v>11</v>
      </c>
      <c r="D7" s="6" t="s">
        <v>12</v>
      </c>
    </row>
    <row r="9" customFormat="false" ht="19.5" hidden="false" customHeight="true" outlineLevel="0" collapsed="false">
      <c r="A9" s="3" t="s">
        <v>13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21.75" hidden="false" customHeight="true" outlineLevel="0" collapsed="false">
      <c r="A10" s="4" t="s">
        <v>14</v>
      </c>
      <c r="B10" s="6" t="s">
        <v>15</v>
      </c>
      <c r="C10" s="4" t="s">
        <v>16</v>
      </c>
      <c r="D10" s="6" t="s">
        <v>12</v>
      </c>
    </row>
    <row r="11" customFormat="false" ht="21.75" hidden="false" customHeight="true" outlineLevel="0" collapsed="false">
      <c r="A11" s="4" t="s">
        <v>17</v>
      </c>
      <c r="B11" s="6" t="s">
        <v>12</v>
      </c>
      <c r="C11" s="4" t="s">
        <v>18</v>
      </c>
      <c r="D11" s="6" t="s">
        <v>19</v>
      </c>
    </row>
    <row r="12" customFormat="false" ht="21.75" hidden="false" customHeight="true" outlineLevel="0" collapsed="false">
      <c r="A12" s="4" t="s">
        <v>20</v>
      </c>
      <c r="B12" s="6" t="s">
        <v>12</v>
      </c>
      <c r="C12" s="4" t="s">
        <v>21</v>
      </c>
      <c r="D12" s="6" t="s">
        <v>12</v>
      </c>
    </row>
    <row r="14" customFormat="false" ht="19.5" hidden="false" customHeight="true" outlineLevel="0" collapsed="false">
      <c r="A14" s="3" t="s">
        <v>22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  <c r="F15" s="7" t="s">
        <v>28</v>
      </c>
      <c r="G15" s="7" t="s">
        <v>29</v>
      </c>
    </row>
    <row r="16" customFormat="false" ht="37.5" hidden="false" customHeight="true" outlineLevel="0" collapsed="false">
      <c r="A16" s="8" t="s">
        <v>30</v>
      </c>
      <c r="B16" s="8" t="s">
        <v>31</v>
      </c>
      <c r="C16" s="8" t="s">
        <v>32</v>
      </c>
      <c r="D16" s="8" t="s">
        <v>33</v>
      </c>
      <c r="E16" s="8" t="s">
        <v>34</v>
      </c>
      <c r="F16" s="8" t="s">
        <v>35</v>
      </c>
      <c r="G16" s="9" t="s">
        <v>36</v>
      </c>
    </row>
    <row r="17" customFormat="false" ht="37.5" hidden="false" customHeight="true" outlineLevel="0" collapsed="false">
      <c r="A17" s="10" t="s">
        <v>37</v>
      </c>
      <c r="B17" s="10" t="s">
        <v>38</v>
      </c>
      <c r="C17" s="10" t="s">
        <v>39</v>
      </c>
      <c r="D17" s="10" t="s">
        <v>40</v>
      </c>
      <c r="E17" s="10" t="s">
        <v>41</v>
      </c>
      <c r="F17" s="10" t="s">
        <v>42</v>
      </c>
      <c r="G17" s="9" t="s">
        <v>36</v>
      </c>
    </row>
    <row r="18" customFormat="false" ht="37.5" hidden="false" customHeight="true" outlineLevel="0" collapsed="false">
      <c r="A18" s="8" t="s">
        <v>43</v>
      </c>
      <c r="B18" s="8" t="s">
        <v>44</v>
      </c>
      <c r="C18" s="8" t="s">
        <v>45</v>
      </c>
      <c r="D18" s="8" t="s">
        <v>46</v>
      </c>
      <c r="E18" s="8" t="s">
        <v>47</v>
      </c>
      <c r="F18" s="8" t="s">
        <v>48</v>
      </c>
      <c r="G18" s="9" t="s">
        <v>36</v>
      </c>
    </row>
    <row r="19" customFormat="false" ht="37.5" hidden="false" customHeight="true" outlineLevel="0" collapsed="false">
      <c r="A19" s="10" t="s">
        <v>49</v>
      </c>
      <c r="B19" s="10" t="s">
        <v>50</v>
      </c>
      <c r="C19" s="10" t="s">
        <v>51</v>
      </c>
      <c r="D19" s="10" t="s">
        <v>52</v>
      </c>
      <c r="E19" s="10" t="s">
        <v>53</v>
      </c>
      <c r="F19" s="10" t="s">
        <v>54</v>
      </c>
      <c r="G19" s="9" t="s">
        <v>36</v>
      </c>
    </row>
    <row r="20" customFormat="false" ht="37.5" hidden="false" customHeight="true" outlineLevel="0" collapsed="false">
      <c r="A20" s="8" t="s">
        <v>55</v>
      </c>
      <c r="B20" s="8" t="s">
        <v>56</v>
      </c>
      <c r="C20" s="8" t="s">
        <v>57</v>
      </c>
      <c r="D20" s="8" t="s">
        <v>58</v>
      </c>
      <c r="E20" s="8" t="s">
        <v>59</v>
      </c>
      <c r="F20" s="8" t="s">
        <v>60</v>
      </c>
      <c r="G20" s="9" t="s">
        <v>36</v>
      </c>
    </row>
    <row r="22" customFormat="false" ht="19.5" hidden="false" customHeight="true" outlineLevel="0" collapsed="false">
      <c r="A22" s="3" t="s">
        <v>61</v>
      </c>
      <c r="B22" s="3"/>
      <c r="C22" s="3"/>
      <c r="D22" s="3"/>
      <c r="E22" s="3"/>
      <c r="F22" s="3"/>
      <c r="G22" s="3"/>
    </row>
    <row r="23" customFormat="false" ht="27.75" hidden="false" customHeight="true" outlineLevel="0" collapsed="false">
      <c r="A23" s="11" t="s">
        <v>62</v>
      </c>
      <c r="B23" s="11"/>
      <c r="C23" s="11"/>
      <c r="D23" s="12" t="s">
        <v>63</v>
      </c>
      <c r="E23" s="12"/>
      <c r="F23" s="12"/>
      <c r="G23" s="12"/>
    </row>
    <row r="24" customFormat="false" ht="27.75" hidden="false" customHeight="true" outlineLevel="0" collapsed="false">
      <c r="A24" s="11" t="s">
        <v>64</v>
      </c>
      <c r="B24" s="11"/>
      <c r="C24" s="11"/>
      <c r="D24" s="12" t="s">
        <v>65</v>
      </c>
      <c r="E24" s="12"/>
      <c r="F24" s="12"/>
      <c r="G24" s="12"/>
    </row>
    <row r="25" customFormat="false" ht="27.75" hidden="false" customHeight="true" outlineLevel="0" collapsed="false">
      <c r="A25" s="11" t="s">
        <v>66</v>
      </c>
      <c r="B25" s="11"/>
      <c r="C25" s="11"/>
      <c r="D25" s="12" t="s">
        <v>67</v>
      </c>
      <c r="E25" s="12"/>
      <c r="F25" s="12"/>
      <c r="G25" s="12"/>
    </row>
    <row r="26" customFormat="false" ht="27.75" hidden="false" customHeight="true" outlineLevel="0" collapsed="false">
      <c r="A26" s="11" t="s">
        <v>68</v>
      </c>
      <c r="B26" s="11"/>
      <c r="C26" s="11"/>
      <c r="D26" s="12" t="s">
        <v>69</v>
      </c>
      <c r="E26" s="12"/>
      <c r="F26" s="12"/>
      <c r="G26" s="12"/>
    </row>
    <row r="27" customFormat="false" ht="27.75" hidden="false" customHeight="true" outlineLevel="0" collapsed="false">
      <c r="A27" s="11" t="s">
        <v>70</v>
      </c>
      <c r="B27" s="11"/>
      <c r="C27" s="11"/>
      <c r="D27" s="12" t="s">
        <v>71</v>
      </c>
      <c r="E27" s="12"/>
      <c r="F27" s="12"/>
      <c r="G27" s="12"/>
    </row>
  </sheetData>
  <mergeCells count="16">
    <mergeCell ref="A1:J1"/>
    <mergeCell ref="A2:J2"/>
    <mergeCell ref="A3:J3"/>
    <mergeCell ref="A9:J9"/>
    <mergeCell ref="A14:J14"/>
    <mergeCell ref="A22:G22"/>
    <mergeCell ref="A23:C23"/>
    <mergeCell ref="D23:G23"/>
    <mergeCell ref="A24:C24"/>
    <mergeCell ref="D24:G24"/>
    <mergeCell ref="A25:C25"/>
    <mergeCell ref="D25:G25"/>
    <mergeCell ref="A26:C26"/>
    <mergeCell ref="D26:G26"/>
    <mergeCell ref="A27:C27"/>
    <mergeCell ref="D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28"/>
    <col collapsed="false" customWidth="true" hidden="false" outlineLevel="0" max="8" min="8" style="0" width="14"/>
    <col collapsed="false" customWidth="true" hidden="false" outlineLevel="0" max="9" min="9" style="0" width="8"/>
  </cols>
  <sheetData>
    <row r="1" customFormat="false" ht="31.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13" t="s">
        <v>74</v>
      </c>
      <c r="B3" s="13"/>
      <c r="C3" s="13"/>
      <c r="D3" s="13"/>
      <c r="E3" s="13"/>
      <c r="F3" s="13"/>
      <c r="G3" s="13"/>
      <c r="H3" s="13"/>
      <c r="I3" s="13"/>
    </row>
    <row r="4" customFormat="false" ht="36" hidden="false" customHeight="true" outlineLevel="0" collapsed="false">
      <c r="A4" s="14" t="s">
        <v>75</v>
      </c>
      <c r="B4" s="14" t="s">
        <v>76</v>
      </c>
      <c r="C4" s="14" t="s">
        <v>77</v>
      </c>
      <c r="D4" s="14" t="s">
        <v>78</v>
      </c>
      <c r="E4" s="14" t="s">
        <v>79</v>
      </c>
      <c r="F4" s="14" t="s">
        <v>80</v>
      </c>
      <c r="G4" s="14" t="s">
        <v>81</v>
      </c>
      <c r="H4" s="14" t="s">
        <v>82</v>
      </c>
      <c r="I4" s="14" t="s">
        <v>83</v>
      </c>
    </row>
    <row r="5" customFormat="false" ht="43.5" hidden="false" customHeight="true" outlineLevel="0" collapsed="false">
      <c r="A5" s="15" t="s">
        <v>84</v>
      </c>
      <c r="B5" s="8" t="s">
        <v>85</v>
      </c>
      <c r="C5" s="16" t="s">
        <v>86</v>
      </c>
      <c r="D5" s="17" t="s">
        <v>87</v>
      </c>
      <c r="E5" s="9"/>
      <c r="F5" s="10"/>
      <c r="G5" s="10"/>
      <c r="H5" s="18" t="str">
        <f aca="false">IF(E5="","",IF(E5&gt;=5,"Low",IF(E5&gt;=4,"Low-Medium",IF(E5&gt;=3,"Medium",IF(E5&gt;=2,"High","Critical")))))</f>
        <v/>
      </c>
      <c r="I5" s="19" t="s">
        <v>88</v>
      </c>
    </row>
    <row r="6" customFormat="false" ht="43.5" hidden="false" customHeight="true" outlineLevel="0" collapsed="false">
      <c r="A6" s="15" t="s">
        <v>84</v>
      </c>
      <c r="B6" s="10" t="s">
        <v>89</v>
      </c>
      <c r="C6" s="20" t="s">
        <v>90</v>
      </c>
      <c r="D6" s="21" t="s">
        <v>87</v>
      </c>
      <c r="E6" s="9"/>
      <c r="F6" s="10"/>
      <c r="G6" s="10"/>
      <c r="H6" s="18" t="str">
        <f aca="false">IF(E6="","",IF(E6&gt;=5,"Low",IF(E6&gt;=4,"Low-Medium",IF(E6&gt;=3,"Medium",IF(E6&gt;=2,"High","Critical")))))</f>
        <v/>
      </c>
      <c r="I6" s="19" t="s">
        <v>88</v>
      </c>
    </row>
    <row r="7" customFormat="false" ht="43.5" hidden="false" customHeight="true" outlineLevel="0" collapsed="false">
      <c r="A7" s="15" t="s">
        <v>84</v>
      </c>
      <c r="B7" s="8" t="s">
        <v>91</v>
      </c>
      <c r="C7" s="16" t="s">
        <v>92</v>
      </c>
      <c r="D7" s="17" t="s">
        <v>87</v>
      </c>
      <c r="E7" s="9"/>
      <c r="F7" s="10"/>
      <c r="G7" s="10"/>
      <c r="H7" s="18" t="str">
        <f aca="false">IF(E7="","",IF(E7&gt;=5,"Low",IF(E7&gt;=4,"Low-Medium",IF(E7&gt;=3,"Medium",IF(E7&gt;=2,"High","Critical")))))</f>
        <v/>
      </c>
      <c r="I7" s="19" t="s">
        <v>88</v>
      </c>
    </row>
    <row r="8" customFormat="false" ht="43.5" hidden="false" customHeight="true" outlineLevel="0" collapsed="false">
      <c r="A8" s="15" t="s">
        <v>84</v>
      </c>
      <c r="B8" s="10" t="s">
        <v>93</v>
      </c>
      <c r="C8" s="20" t="s">
        <v>94</v>
      </c>
      <c r="D8" s="21" t="s">
        <v>87</v>
      </c>
      <c r="E8" s="9"/>
      <c r="F8" s="10"/>
      <c r="G8" s="10"/>
      <c r="H8" s="18" t="str">
        <f aca="false">IF(E8="","",IF(E8&gt;=5,"Low",IF(E8&gt;=4,"Low-Medium",IF(E8&gt;=3,"Medium",IF(E8&gt;=2,"High","Critical")))))</f>
        <v/>
      </c>
      <c r="I8" s="19" t="s">
        <v>88</v>
      </c>
    </row>
    <row r="9" customFormat="false" ht="43.5" hidden="false" customHeight="true" outlineLevel="0" collapsed="false">
      <c r="A9" s="22" t="s">
        <v>95</v>
      </c>
      <c r="B9" s="8" t="s">
        <v>96</v>
      </c>
      <c r="C9" s="16" t="s">
        <v>97</v>
      </c>
      <c r="D9" s="17" t="s">
        <v>87</v>
      </c>
      <c r="E9" s="9"/>
      <c r="F9" s="10"/>
      <c r="G9" s="10"/>
      <c r="H9" s="18" t="str">
        <f aca="false">IF(E9="","",IF(E9&gt;=5,"Low",IF(E9&gt;=4,"Low-Medium",IF(E9&gt;=3,"Medium",IF(E9&gt;=2,"High","Critical")))))</f>
        <v/>
      </c>
      <c r="I9" s="19" t="s">
        <v>88</v>
      </c>
    </row>
    <row r="10" customFormat="false" ht="43.5" hidden="false" customHeight="true" outlineLevel="0" collapsed="false">
      <c r="A10" s="22" t="s">
        <v>95</v>
      </c>
      <c r="B10" s="10" t="s">
        <v>98</v>
      </c>
      <c r="C10" s="20" t="s">
        <v>99</v>
      </c>
      <c r="D10" s="21" t="s">
        <v>87</v>
      </c>
      <c r="E10" s="9"/>
      <c r="F10" s="10"/>
      <c r="G10" s="10"/>
      <c r="H10" s="18" t="str">
        <f aca="false">IF(E10="","",IF(E10&gt;=5,"Low",IF(E10&gt;=4,"Low-Medium",IF(E10&gt;=3,"Medium",IF(E10&gt;=2,"High","Critical")))))</f>
        <v/>
      </c>
      <c r="I10" s="19" t="s">
        <v>88</v>
      </c>
    </row>
    <row r="11" customFormat="false" ht="43.5" hidden="false" customHeight="true" outlineLevel="0" collapsed="false">
      <c r="A11" s="22" t="s">
        <v>95</v>
      </c>
      <c r="B11" s="8" t="s">
        <v>100</v>
      </c>
      <c r="C11" s="16" t="s">
        <v>101</v>
      </c>
      <c r="D11" s="17" t="s">
        <v>87</v>
      </c>
      <c r="E11" s="9"/>
      <c r="F11" s="10"/>
      <c r="G11" s="10"/>
      <c r="H11" s="18" t="str">
        <f aca="false">IF(E11="","",IF(E11&gt;=5,"Low",IF(E11&gt;=4,"Low-Medium",IF(E11&gt;=3,"Medium",IF(E11&gt;=2,"High","Critical")))))</f>
        <v/>
      </c>
      <c r="I11" s="19" t="s">
        <v>88</v>
      </c>
    </row>
    <row r="12" customFormat="false" ht="43.5" hidden="false" customHeight="true" outlineLevel="0" collapsed="false">
      <c r="A12" s="22" t="s">
        <v>95</v>
      </c>
      <c r="B12" s="10" t="s">
        <v>102</v>
      </c>
      <c r="C12" s="20" t="s">
        <v>103</v>
      </c>
      <c r="D12" s="21" t="s">
        <v>87</v>
      </c>
      <c r="E12" s="9"/>
      <c r="F12" s="10"/>
      <c r="G12" s="10"/>
      <c r="H12" s="18" t="str">
        <f aca="false">IF(E12="","",IF(E12&gt;=5,"Low",IF(E12&gt;=4,"Low-Medium",IF(E12&gt;=3,"Medium",IF(E12&gt;=2,"High","Critical")))))</f>
        <v/>
      </c>
      <c r="I12" s="19" t="s">
        <v>88</v>
      </c>
    </row>
    <row r="13" customFormat="false" ht="43.5" hidden="false" customHeight="true" outlineLevel="0" collapsed="false">
      <c r="A13" s="23" t="s">
        <v>104</v>
      </c>
      <c r="B13" s="8" t="s">
        <v>105</v>
      </c>
      <c r="C13" s="16" t="s">
        <v>106</v>
      </c>
      <c r="D13" s="17" t="s">
        <v>87</v>
      </c>
      <c r="E13" s="9"/>
      <c r="F13" s="10"/>
      <c r="G13" s="10"/>
      <c r="H13" s="18" t="str">
        <f aca="false">IF(E13="","",IF(E13&gt;=5,"Low",IF(E13&gt;=4,"Low-Medium",IF(E13&gt;=3,"Medium",IF(E13&gt;=2,"High","Critical")))))</f>
        <v/>
      </c>
      <c r="I13" s="19" t="s">
        <v>88</v>
      </c>
    </row>
    <row r="14" customFormat="false" ht="43.5" hidden="false" customHeight="true" outlineLevel="0" collapsed="false">
      <c r="A14" s="23" t="s">
        <v>104</v>
      </c>
      <c r="B14" s="10" t="s">
        <v>107</v>
      </c>
      <c r="C14" s="20" t="s">
        <v>108</v>
      </c>
      <c r="D14" s="21" t="s">
        <v>87</v>
      </c>
      <c r="E14" s="9"/>
      <c r="F14" s="10"/>
      <c r="G14" s="10"/>
      <c r="H14" s="18" t="str">
        <f aca="false">IF(E14="","",IF(E14&gt;=5,"Low",IF(E14&gt;=4,"Low-Medium",IF(E14&gt;=3,"Medium",IF(E14&gt;=2,"High","Critical")))))</f>
        <v/>
      </c>
      <c r="I14" s="19" t="s">
        <v>88</v>
      </c>
    </row>
    <row r="15" customFormat="false" ht="43.5" hidden="false" customHeight="true" outlineLevel="0" collapsed="false">
      <c r="A15" s="23" t="s">
        <v>104</v>
      </c>
      <c r="B15" s="8" t="s">
        <v>109</v>
      </c>
      <c r="C15" s="16" t="s">
        <v>110</v>
      </c>
      <c r="D15" s="17" t="s">
        <v>87</v>
      </c>
      <c r="E15" s="9"/>
      <c r="F15" s="10"/>
      <c r="G15" s="10"/>
      <c r="H15" s="18" t="str">
        <f aca="false">IF(E15="","",IF(E15&gt;=5,"Low",IF(E15&gt;=4,"Low-Medium",IF(E15&gt;=3,"Medium",IF(E15&gt;=2,"High","Critical")))))</f>
        <v/>
      </c>
      <c r="I15" s="19" t="s">
        <v>88</v>
      </c>
    </row>
    <row r="16" customFormat="false" ht="43.5" hidden="false" customHeight="true" outlineLevel="0" collapsed="false">
      <c r="A16" s="23" t="s">
        <v>104</v>
      </c>
      <c r="B16" s="10" t="s">
        <v>111</v>
      </c>
      <c r="C16" s="20" t="s">
        <v>112</v>
      </c>
      <c r="D16" s="21" t="s">
        <v>87</v>
      </c>
      <c r="E16" s="9"/>
      <c r="F16" s="10"/>
      <c r="G16" s="10"/>
      <c r="H16" s="18" t="str">
        <f aca="false">IF(E16="","",IF(E16&gt;=5,"Low",IF(E16&gt;=4,"Low-Medium",IF(E16&gt;=3,"Medium",IF(E16&gt;=2,"High","Critical")))))</f>
        <v/>
      </c>
      <c r="I16" s="19" t="s">
        <v>88</v>
      </c>
    </row>
    <row r="17" customFormat="false" ht="43.5" hidden="false" customHeight="true" outlineLevel="0" collapsed="false">
      <c r="A17" s="24" t="s">
        <v>113</v>
      </c>
      <c r="B17" s="8" t="s">
        <v>114</v>
      </c>
      <c r="C17" s="16" t="s">
        <v>115</v>
      </c>
      <c r="D17" s="17" t="s">
        <v>87</v>
      </c>
      <c r="E17" s="9"/>
      <c r="F17" s="10"/>
      <c r="G17" s="10"/>
      <c r="H17" s="18" t="str">
        <f aca="false">IF(E17="","",IF(E17&gt;=5,"Low",IF(E17&gt;=4,"Low-Medium",IF(E17&gt;=3,"Medium",IF(E17&gt;=2,"High","Critical")))))</f>
        <v/>
      </c>
      <c r="I17" s="19" t="s">
        <v>88</v>
      </c>
    </row>
    <row r="18" customFormat="false" ht="43.5" hidden="false" customHeight="true" outlineLevel="0" collapsed="false">
      <c r="A18" s="24" t="s">
        <v>113</v>
      </c>
      <c r="B18" s="10" t="s">
        <v>116</v>
      </c>
      <c r="C18" s="20" t="s">
        <v>117</v>
      </c>
      <c r="D18" s="21" t="s">
        <v>87</v>
      </c>
      <c r="E18" s="9"/>
      <c r="F18" s="10"/>
      <c r="G18" s="10"/>
      <c r="H18" s="18" t="str">
        <f aca="false">IF(E18="","",IF(E18&gt;=5,"Low",IF(E18&gt;=4,"Low-Medium",IF(E18&gt;=3,"Medium",IF(E18&gt;=2,"High","Critical")))))</f>
        <v/>
      </c>
      <c r="I18" s="19" t="s">
        <v>88</v>
      </c>
    </row>
    <row r="19" customFormat="false" ht="43.5" hidden="false" customHeight="true" outlineLevel="0" collapsed="false">
      <c r="A19" s="24" t="s">
        <v>113</v>
      </c>
      <c r="B19" s="8" t="s">
        <v>118</v>
      </c>
      <c r="C19" s="16" t="s">
        <v>119</v>
      </c>
      <c r="D19" s="17" t="s">
        <v>87</v>
      </c>
      <c r="E19" s="9"/>
      <c r="F19" s="10"/>
      <c r="G19" s="10"/>
      <c r="H19" s="18" t="str">
        <f aca="false">IF(E19="","",IF(E19&gt;=5,"Low",IF(E19&gt;=4,"Low-Medium",IF(E19&gt;=3,"Medium",IF(E19&gt;=2,"High","Critical")))))</f>
        <v/>
      </c>
      <c r="I19" s="19" t="s">
        <v>88</v>
      </c>
    </row>
    <row r="20" customFormat="false" ht="43.5" hidden="false" customHeight="true" outlineLevel="0" collapsed="false">
      <c r="A20" s="25" t="s">
        <v>120</v>
      </c>
      <c r="B20" s="10" t="s">
        <v>121</v>
      </c>
      <c r="C20" s="20" t="s">
        <v>122</v>
      </c>
      <c r="D20" s="21" t="s">
        <v>87</v>
      </c>
      <c r="E20" s="9"/>
      <c r="F20" s="10"/>
      <c r="G20" s="10"/>
      <c r="H20" s="18" t="str">
        <f aca="false">IF(E20="","",IF(E20&gt;=5,"Low",IF(E20&gt;=4,"Low-Medium",IF(E20&gt;=3,"Medium",IF(E20&gt;=2,"High","Critical")))))</f>
        <v/>
      </c>
      <c r="I20" s="19" t="s">
        <v>88</v>
      </c>
    </row>
    <row r="21" customFormat="false" ht="43.5" hidden="false" customHeight="true" outlineLevel="0" collapsed="false">
      <c r="A21" s="25" t="s">
        <v>120</v>
      </c>
      <c r="B21" s="8" t="s">
        <v>123</v>
      </c>
      <c r="C21" s="16" t="s">
        <v>124</v>
      </c>
      <c r="D21" s="17" t="s">
        <v>87</v>
      </c>
      <c r="E21" s="9"/>
      <c r="F21" s="10"/>
      <c r="G21" s="10"/>
      <c r="H21" s="18" t="str">
        <f aca="false">IF(E21="","",IF(E21&gt;=5,"Low",IF(E21&gt;=4,"Low-Medium",IF(E21&gt;=3,"Medium",IF(E21&gt;=2,"High","Critical")))))</f>
        <v/>
      </c>
      <c r="I21" s="19" t="s">
        <v>88</v>
      </c>
    </row>
    <row r="22" customFormat="false" ht="43.5" hidden="false" customHeight="true" outlineLevel="0" collapsed="false">
      <c r="A22" s="25" t="s">
        <v>120</v>
      </c>
      <c r="B22" s="10" t="s">
        <v>125</v>
      </c>
      <c r="C22" s="20" t="s">
        <v>126</v>
      </c>
      <c r="D22" s="21" t="s">
        <v>87</v>
      </c>
      <c r="E22" s="9"/>
      <c r="F22" s="10"/>
      <c r="G22" s="10"/>
      <c r="H22" s="18" t="str">
        <f aca="false">IF(E22="","",IF(E22&gt;=5,"Low",IF(E22&gt;=4,"Low-Medium",IF(E22&gt;=3,"Medium",IF(E22&gt;=2,"High","Critical")))))</f>
        <v/>
      </c>
      <c r="I22" s="19" t="s">
        <v>88</v>
      </c>
    </row>
    <row r="23" customFormat="false" ht="43.5" hidden="false" customHeight="true" outlineLevel="0" collapsed="false">
      <c r="A23" s="25" t="s">
        <v>120</v>
      </c>
      <c r="B23" s="8" t="s">
        <v>127</v>
      </c>
      <c r="C23" s="16" t="s">
        <v>128</v>
      </c>
      <c r="D23" s="17" t="s">
        <v>87</v>
      </c>
      <c r="E23" s="9"/>
      <c r="F23" s="10"/>
      <c r="G23" s="10"/>
      <c r="H23" s="18" t="str">
        <f aca="false">IF(E23="","",IF(E23&gt;=5,"Low",IF(E23&gt;=4,"Low-Medium",IF(E23&gt;=3,"Medium",IF(E23&gt;=2,"High","Critical")))))</f>
        <v/>
      </c>
      <c r="I23" s="19" t="s">
        <v>88</v>
      </c>
    </row>
    <row r="24" customFormat="false" ht="43.5" hidden="false" customHeight="true" outlineLevel="0" collapsed="false">
      <c r="A24" s="26" t="s">
        <v>129</v>
      </c>
      <c r="B24" s="10" t="s">
        <v>130</v>
      </c>
      <c r="C24" s="20" t="s">
        <v>131</v>
      </c>
      <c r="D24" s="21" t="s">
        <v>132</v>
      </c>
      <c r="E24" s="9"/>
      <c r="F24" s="10"/>
      <c r="G24" s="10"/>
      <c r="H24" s="18" t="str">
        <f aca="false">IF(E24="","",IF(E24&gt;=5,"Low",IF(E24&gt;=4,"Low-Medium",IF(E24&gt;=3,"Medium",IF(E24&gt;=2,"High","Critical")))))</f>
        <v/>
      </c>
      <c r="I24" s="19" t="s">
        <v>88</v>
      </c>
    </row>
    <row r="25" customFormat="false" ht="43.5" hidden="false" customHeight="true" outlineLevel="0" collapsed="false">
      <c r="A25" s="26" t="s">
        <v>129</v>
      </c>
      <c r="B25" s="8" t="s">
        <v>133</v>
      </c>
      <c r="C25" s="16" t="s">
        <v>134</v>
      </c>
      <c r="D25" s="17" t="s">
        <v>132</v>
      </c>
      <c r="E25" s="9"/>
      <c r="F25" s="10"/>
      <c r="G25" s="10"/>
      <c r="H25" s="18" t="str">
        <f aca="false">IF(E25="","",IF(E25&gt;=5,"Low",IF(E25&gt;=4,"Low-Medium",IF(E25&gt;=3,"Medium",IF(E25&gt;=2,"High","Critical")))))</f>
        <v/>
      </c>
      <c r="I25" s="19" t="s">
        <v>88</v>
      </c>
    </row>
    <row r="26" customFormat="false" ht="43.5" hidden="false" customHeight="true" outlineLevel="0" collapsed="false">
      <c r="A26" s="26" t="s">
        <v>129</v>
      </c>
      <c r="B26" s="10" t="s">
        <v>135</v>
      </c>
      <c r="C26" s="20" t="s">
        <v>136</v>
      </c>
      <c r="D26" s="21" t="s">
        <v>87</v>
      </c>
      <c r="E26" s="9"/>
      <c r="F26" s="10"/>
      <c r="G26" s="10"/>
      <c r="H26" s="18" t="str">
        <f aca="false">IF(E26="","",IF(E26&gt;=5,"Low",IF(E26&gt;=4,"Low-Medium",IF(E26&gt;=3,"Medium",IF(E26&gt;=2,"High","Critical")))))</f>
        <v/>
      </c>
      <c r="I26" s="19" t="s">
        <v>88</v>
      </c>
    </row>
    <row r="27" customFormat="false" ht="43.5" hidden="false" customHeight="true" outlineLevel="0" collapsed="false">
      <c r="A27" s="26" t="s">
        <v>129</v>
      </c>
      <c r="B27" s="8" t="s">
        <v>137</v>
      </c>
      <c r="C27" s="16" t="s">
        <v>138</v>
      </c>
      <c r="D27" s="17" t="s">
        <v>87</v>
      </c>
      <c r="E27" s="9"/>
      <c r="F27" s="10"/>
      <c r="G27" s="10"/>
      <c r="H27" s="18" t="str">
        <f aca="false">IF(E27="","",IF(E27&gt;=5,"Low",IF(E27&gt;=4,"Low-Medium",IF(E27&gt;=3,"Medium",IF(E27&gt;=2,"High","Critical")))))</f>
        <v/>
      </c>
      <c r="I27" s="19" t="s">
        <v>88</v>
      </c>
    </row>
    <row r="28" customFormat="false" ht="43.5" hidden="false" customHeight="true" outlineLevel="0" collapsed="false">
      <c r="A28" s="27" t="s">
        <v>139</v>
      </c>
      <c r="B28" s="10" t="s">
        <v>140</v>
      </c>
      <c r="C28" s="20" t="s">
        <v>141</v>
      </c>
      <c r="D28" s="21" t="s">
        <v>12</v>
      </c>
      <c r="E28" s="9"/>
      <c r="F28" s="10"/>
      <c r="G28" s="10"/>
      <c r="H28" s="18" t="str">
        <f aca="false">IF(E28="","",IF(E28&gt;=5,"Low",IF(E28&gt;=4,"Low-Medium",IF(E28&gt;=3,"Medium",IF(E28&gt;=2,"High","Critical")))))</f>
        <v/>
      </c>
      <c r="I28" s="19" t="s">
        <v>88</v>
      </c>
    </row>
    <row r="29" customFormat="false" ht="43.5" hidden="false" customHeight="true" outlineLevel="0" collapsed="false">
      <c r="A29" s="27" t="s">
        <v>139</v>
      </c>
      <c r="B29" s="8" t="s">
        <v>142</v>
      </c>
      <c r="C29" s="16" t="s">
        <v>143</v>
      </c>
      <c r="D29" s="17" t="s">
        <v>87</v>
      </c>
      <c r="E29" s="9"/>
      <c r="F29" s="10"/>
      <c r="G29" s="10"/>
      <c r="H29" s="18" t="str">
        <f aca="false">IF(E29="","",IF(E29&gt;=5,"Low",IF(E29&gt;=4,"Low-Medium",IF(E29&gt;=3,"Medium",IF(E29&gt;=2,"High","Critical")))))</f>
        <v/>
      </c>
      <c r="I29" s="19" t="s">
        <v>88</v>
      </c>
    </row>
    <row r="30" customFormat="false" ht="43.5" hidden="false" customHeight="true" outlineLevel="0" collapsed="false">
      <c r="A30" s="27" t="s">
        <v>139</v>
      </c>
      <c r="B30" s="10" t="s">
        <v>144</v>
      </c>
      <c r="C30" s="20" t="s">
        <v>145</v>
      </c>
      <c r="D30" s="21" t="s">
        <v>12</v>
      </c>
      <c r="E30" s="9"/>
      <c r="F30" s="10"/>
      <c r="G30" s="10"/>
      <c r="H30" s="18" t="str">
        <f aca="false">IF(E30="","",IF(E30&gt;=5,"Low",IF(E30&gt;=4,"Low-Medium",IF(E30&gt;=3,"Medium",IF(E30&gt;=2,"High","Critical")))))</f>
        <v/>
      </c>
      <c r="I30" s="19" t="s">
        <v>88</v>
      </c>
    </row>
  </sheetData>
  <mergeCells count="3">
    <mergeCell ref="A1:I1"/>
    <mergeCell ref="A2:I2"/>
    <mergeCell ref="A3:I3"/>
  </mergeCells>
  <dataValidations count="1">
    <dataValidation allowBlank="false" error="Enter a score between 1 and 5" errorStyle="stop" errorTitle="Invalid Score" operator="between" prompt="Score: 1=Not implemented  5=Fully implemented" promptTitle="Scoring Guide" showDropDown="false" showErrorMessage="false" showInputMessage="false" sqref="E5:E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147</v>
      </c>
      <c r="B2" s="2"/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24" hidden="false" customHeight="true" outlineLevel="0" collapsed="false">
      <c r="A4" s="28" t="s">
        <v>75</v>
      </c>
      <c r="B4" s="28" t="s">
        <v>148</v>
      </c>
      <c r="C4" s="28" t="s">
        <v>149</v>
      </c>
      <c r="D4" s="28" t="s">
        <v>150</v>
      </c>
      <c r="E4" s="28" t="s">
        <v>151</v>
      </c>
    </row>
    <row r="5" customFormat="false" ht="30" hidden="false" customHeight="true" outlineLevel="0" collapsed="false">
      <c r="A5" s="29" t="s">
        <v>84</v>
      </c>
      <c r="B5" s="30" t="n">
        <v>4</v>
      </c>
      <c r="C5" s="31" t="str">
        <f aca="false">IFERROR(AVERAGE('Control Assessment'!E5:E8),"")</f>
        <v/>
      </c>
      <c r="D5" s="32" t="str">
        <f aca="false">IF(C5="","Pending",IF(C5&gt;=4.5,"Low",IF(C5&gt;=3.5,"Low-Medium",IF(C5&gt;=2.5,"Medium",IF(C5&gt;=1.5,"High","Critical")))))</f>
        <v>Pending</v>
      </c>
      <c r="E5" s="33" t="str">
        <f aca="false">IF(D5="Pending","Score controls first",IF(D5="Low","Approve — monitor annually",IF(D5="Low-Medium","Approve — monitor semi-annually",IF(D5="Medium","Conditional approval — remediation plan required",IF(D5="High","Escalate to security lead — defer onboarding","Do not onboard — critical risk")))))</f>
        <v>Score controls first</v>
      </c>
    </row>
    <row r="6" customFormat="false" ht="30" hidden="false" customHeight="true" outlineLevel="0" collapsed="false">
      <c r="A6" s="34" t="s">
        <v>95</v>
      </c>
      <c r="B6" s="35" t="n">
        <v>4</v>
      </c>
      <c r="C6" s="31" t="str">
        <f aca="false">IFERROR(AVERAGE('Control Assessment'!E9:E12),"")</f>
        <v/>
      </c>
      <c r="D6" s="32" t="str">
        <f aca="false">IF(C6="","Pending",IF(C6&gt;=4.5,"Low",IF(C6&gt;=3.5,"Low-Medium",IF(C6&gt;=2.5,"Medium",IF(C6&gt;=1.5,"High","Critical")))))</f>
        <v>Pending</v>
      </c>
      <c r="E6" s="36" t="str">
        <f aca="false">IF(D6="Pending","Score controls first",IF(D6="Low","Approve — monitor annually",IF(D6="Low-Medium","Approve — monitor semi-annually",IF(D6="Medium","Conditional approval — remediation plan required",IF(D6="High","Escalate to security lead — defer onboarding","Do not onboard — critical risk")))))</f>
        <v>Score controls first</v>
      </c>
    </row>
    <row r="7" customFormat="false" ht="30" hidden="false" customHeight="true" outlineLevel="0" collapsed="false">
      <c r="A7" s="29" t="s">
        <v>104</v>
      </c>
      <c r="B7" s="30" t="n">
        <v>4</v>
      </c>
      <c r="C7" s="31" t="str">
        <f aca="false">IFERROR(AVERAGE('Control Assessment'!E13:E16),"")</f>
        <v/>
      </c>
      <c r="D7" s="32" t="str">
        <f aca="false">IF(C7="","Pending",IF(C7&gt;=4.5,"Low",IF(C7&gt;=3.5,"Low-Medium",IF(C7&gt;=2.5,"Medium",IF(C7&gt;=1.5,"High","Critical")))))</f>
        <v>Pending</v>
      </c>
      <c r="E7" s="33" t="str">
        <f aca="false">IF(D7="Pending","Score controls first",IF(D7="Low","Approve — monitor annually",IF(D7="Low-Medium","Approve — monitor semi-annually",IF(D7="Medium","Conditional approval — remediation plan required",IF(D7="High","Escalate to security lead — defer onboarding","Do not onboard — critical risk")))))</f>
        <v>Score controls first</v>
      </c>
    </row>
    <row r="8" customFormat="false" ht="30" hidden="false" customHeight="true" outlineLevel="0" collapsed="false">
      <c r="A8" s="34" t="s">
        <v>113</v>
      </c>
      <c r="B8" s="35" t="n">
        <v>3</v>
      </c>
      <c r="C8" s="31" t="str">
        <f aca="false">IFERROR(AVERAGE('Control Assessment'!E17:E19),"")</f>
        <v/>
      </c>
      <c r="D8" s="32" t="str">
        <f aca="false">IF(C8="","Pending",IF(C8&gt;=4.5,"Low",IF(C8&gt;=3.5,"Low-Medium",IF(C8&gt;=2.5,"Medium",IF(C8&gt;=1.5,"High","Critical")))))</f>
        <v>Pending</v>
      </c>
      <c r="E8" s="36" t="str">
        <f aca="false">IF(D8="Pending","Score controls first",IF(D8="Low","Approve — monitor annually",IF(D8="Low-Medium","Approve — monitor semi-annually",IF(D8="Medium","Conditional approval — remediation plan required",IF(D8="High","Escalate to security lead — defer onboarding","Do not onboard — critical risk")))))</f>
        <v>Score controls first</v>
      </c>
    </row>
    <row r="9" customFormat="false" ht="30" hidden="false" customHeight="true" outlineLevel="0" collapsed="false">
      <c r="A9" s="29" t="s">
        <v>120</v>
      </c>
      <c r="B9" s="30" t="n">
        <v>4</v>
      </c>
      <c r="C9" s="31" t="str">
        <f aca="false">IFERROR(AVERAGE('Control Assessment'!E20:E23),"")</f>
        <v/>
      </c>
      <c r="D9" s="32" t="str">
        <f aca="false">IF(C9="","Pending",IF(C9&gt;=4.5,"Low",IF(C9&gt;=3.5,"Low-Medium",IF(C9&gt;=2.5,"Medium",IF(C9&gt;=1.5,"High","Critical")))))</f>
        <v>Pending</v>
      </c>
      <c r="E9" s="33" t="str">
        <f aca="false">IF(D9="Pending","Score controls first",IF(D9="Low","Approve — monitor annually",IF(D9="Low-Medium","Approve — monitor semi-annually",IF(D9="Medium","Conditional approval — remediation plan required",IF(D9="High","Escalate to security lead — defer onboarding","Do not onboard — critical risk")))))</f>
        <v>Score controls first</v>
      </c>
    </row>
    <row r="10" customFormat="false" ht="30" hidden="false" customHeight="true" outlineLevel="0" collapsed="false">
      <c r="A10" s="34" t="s">
        <v>129</v>
      </c>
      <c r="B10" s="35" t="n">
        <v>4</v>
      </c>
      <c r="C10" s="31" t="str">
        <f aca="false">IFERROR(AVERAGE('Control Assessment'!E24:E27),"")</f>
        <v/>
      </c>
      <c r="D10" s="32" t="str">
        <f aca="false">IF(C10="","Pending",IF(C10&gt;=4.5,"Low",IF(C10&gt;=3.5,"Low-Medium",IF(C10&gt;=2.5,"Medium",IF(C10&gt;=1.5,"High","Critical")))))</f>
        <v>Pending</v>
      </c>
      <c r="E10" s="36" t="str">
        <f aca="false">IF(D10="Pending","Score controls first",IF(D10="Low","Approve — monitor annually",IF(D10="Low-Medium","Approve — monitor semi-annually",IF(D10="Medium","Conditional approval — remediation plan required",IF(D10="High","Escalate to security lead — defer onboarding","Do not onboard — critical risk")))))</f>
        <v>Score controls first</v>
      </c>
    </row>
    <row r="11" customFormat="false" ht="30" hidden="false" customHeight="true" outlineLevel="0" collapsed="false">
      <c r="A11" s="29" t="s">
        <v>139</v>
      </c>
      <c r="B11" s="30" t="n">
        <v>3</v>
      </c>
      <c r="C11" s="31" t="str">
        <f aca="false">IFERROR(AVERAGE('Control Assessment'!E28:E30),"")</f>
        <v/>
      </c>
      <c r="D11" s="32" t="str">
        <f aca="false">IF(C11="","Pending",IF(C11&gt;=4.5,"Low",IF(C11&gt;=3.5,"Low-Medium",IF(C11&gt;=2.5,"Medium",IF(C11&gt;=1.5,"High","Critical")))))</f>
        <v>Pending</v>
      </c>
      <c r="E11" s="33" t="str">
        <f aca="false">IF(D11="Pending","Score controls first",IF(D11="Low","Approve — monitor annually",IF(D11="Low-Medium","Approve — monitor semi-annually",IF(D11="Medium","Conditional approval — remediation plan required",IF(D11="High","Escalate to security lead — defer onboarding","Do not onboard — critical risk")))))</f>
        <v>Score controls first</v>
      </c>
    </row>
    <row r="12" customFormat="false" ht="31.5" hidden="false" customHeight="true" outlineLevel="0" collapsed="false">
      <c r="A12" s="37" t="s">
        <v>152</v>
      </c>
      <c r="B12" s="37"/>
      <c r="C12" s="38" t="str">
        <f aca="false">IFERROR(AVERAGE(C5:C11),"")</f>
        <v/>
      </c>
      <c r="D12" s="39" t="str">
        <f aca="false">IF(C12="","Pending",IF(C12&gt;=4.5,"Low",IF(C12&gt;=3.5,"Low-Medium",IF(C12&gt;=2.5,"Medium",IF(C12&gt;=1.5,"High","Critical")))))</f>
        <v>Pending</v>
      </c>
      <c r="E12" s="40" t="str">
        <f aca="false">IF(D12="Pending","Score all controls first",IF(D12="Low","Approve for onboarding",IF(D12="Low-Medium","Approve with annual review",IF(D12="Medium","Conditional — remediation plan required",IF(D12="High","Escalate — security lead sign-off required","Do not onboard — escalate immediately")))))</f>
        <v>Score all controls first</v>
      </c>
    </row>
    <row r="14" customFormat="false" ht="24" hidden="false" customHeight="true" outlineLevel="0" collapsed="false">
      <c r="A14" s="11" t="s">
        <v>153</v>
      </c>
      <c r="B14" s="11"/>
      <c r="C14" s="41" t="s">
        <v>67</v>
      </c>
      <c r="D14" s="41"/>
      <c r="E14" s="41"/>
    </row>
    <row r="15" customFormat="false" ht="24" hidden="false" customHeight="true" outlineLevel="0" collapsed="false">
      <c r="A15" s="11" t="s">
        <v>154</v>
      </c>
      <c r="B15" s="11"/>
      <c r="C15" s="41" t="s">
        <v>69</v>
      </c>
      <c r="D15" s="41"/>
      <c r="E15" s="41"/>
    </row>
    <row r="16" customFormat="false" ht="24" hidden="false" customHeight="true" outlineLevel="0" collapsed="false">
      <c r="A16" s="11" t="s">
        <v>155</v>
      </c>
      <c r="B16" s="11"/>
      <c r="C16" s="41" t="s">
        <v>156</v>
      </c>
      <c r="D16" s="41"/>
      <c r="E16" s="41"/>
    </row>
    <row r="17" customFormat="false" ht="24" hidden="false" customHeight="true" outlineLevel="0" collapsed="false">
      <c r="A17" s="11" t="s">
        <v>157</v>
      </c>
      <c r="B17" s="11"/>
      <c r="C17" s="41" t="s">
        <v>158</v>
      </c>
      <c r="D17" s="41"/>
      <c r="E17" s="41"/>
    </row>
    <row r="18" customFormat="false" ht="24" hidden="false" customHeight="true" outlineLevel="0" collapsed="false">
      <c r="A18" s="11" t="s">
        <v>159</v>
      </c>
      <c r="B18" s="11"/>
      <c r="C18" s="41" t="s">
        <v>160</v>
      </c>
      <c r="D18" s="41"/>
      <c r="E18" s="41"/>
    </row>
  </sheetData>
  <mergeCells count="13">
    <mergeCell ref="A1:G1"/>
    <mergeCell ref="A2:G2"/>
    <mergeCell ref="A12:B12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31.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14" t="s">
        <v>163</v>
      </c>
      <c r="B3" s="14" t="s">
        <v>164</v>
      </c>
      <c r="C3" s="14" t="s">
        <v>75</v>
      </c>
      <c r="D3" s="14" t="s">
        <v>165</v>
      </c>
      <c r="E3" s="14" t="s">
        <v>166</v>
      </c>
      <c r="F3" s="14" t="s">
        <v>167</v>
      </c>
      <c r="G3" s="14" t="s">
        <v>168</v>
      </c>
      <c r="H3" s="14" t="s">
        <v>169</v>
      </c>
      <c r="I3" s="14" t="s">
        <v>170</v>
      </c>
    </row>
    <row r="4" customFormat="false" ht="37.5" hidden="false" customHeight="true" outlineLevel="0" collapsed="false">
      <c r="A4" s="8" t="s">
        <v>171</v>
      </c>
      <c r="B4" s="8" t="s">
        <v>172</v>
      </c>
      <c r="C4" s="8" t="s">
        <v>84</v>
      </c>
      <c r="D4" s="42"/>
      <c r="E4" s="24" t="s">
        <v>173</v>
      </c>
      <c r="F4" s="8" t="s">
        <v>174</v>
      </c>
      <c r="G4" s="24" t="s">
        <v>173</v>
      </c>
      <c r="H4" s="8" t="s">
        <v>175</v>
      </c>
      <c r="I4" s="8" t="s">
        <v>176</v>
      </c>
    </row>
    <row r="5" customFormat="false" ht="37.5" hidden="false" customHeight="true" outlineLevel="0" collapsed="false">
      <c r="A5" s="10" t="s">
        <v>177</v>
      </c>
      <c r="B5" s="10" t="s">
        <v>172</v>
      </c>
      <c r="C5" s="10" t="s">
        <v>129</v>
      </c>
      <c r="D5" s="10" t="s">
        <v>178</v>
      </c>
      <c r="E5" s="43"/>
      <c r="F5" s="10" t="s">
        <v>179</v>
      </c>
      <c r="G5" s="23" t="s">
        <v>180</v>
      </c>
      <c r="H5" s="10" t="s">
        <v>175</v>
      </c>
      <c r="I5" s="10" t="s">
        <v>176</v>
      </c>
    </row>
    <row r="6" customFormat="false" ht="37.5" hidden="false" customHeight="true" outlineLevel="0" collapsed="false">
      <c r="A6" s="8" t="s">
        <v>181</v>
      </c>
      <c r="B6" s="8" t="s">
        <v>172</v>
      </c>
      <c r="C6" s="8" t="s">
        <v>95</v>
      </c>
      <c r="D6" s="8" t="s">
        <v>182</v>
      </c>
      <c r="E6" s="24" t="s">
        <v>173</v>
      </c>
      <c r="F6" s="42"/>
      <c r="G6" s="23" t="s">
        <v>180</v>
      </c>
      <c r="H6" s="8" t="s">
        <v>175</v>
      </c>
      <c r="I6" s="8" t="s">
        <v>176</v>
      </c>
    </row>
    <row r="7" customFormat="false" ht="37.5" hidden="false" customHeight="true" outlineLevel="0" collapsed="false">
      <c r="A7" s="10" t="s">
        <v>183</v>
      </c>
      <c r="B7" s="10" t="s">
        <v>172</v>
      </c>
      <c r="C7" s="10" t="s">
        <v>120</v>
      </c>
      <c r="D7" s="10" t="s">
        <v>184</v>
      </c>
      <c r="E7" s="23" t="s">
        <v>180</v>
      </c>
      <c r="F7" s="10" t="s">
        <v>185</v>
      </c>
      <c r="G7" s="43"/>
      <c r="H7" s="10" t="s">
        <v>175</v>
      </c>
      <c r="I7" s="10" t="s">
        <v>176</v>
      </c>
    </row>
    <row r="8" customFormat="false" ht="37.5" hidden="false" customHeight="true" outlineLevel="0" collapsed="false">
      <c r="A8" s="8" t="s">
        <v>186</v>
      </c>
      <c r="B8" s="8" t="s">
        <v>172</v>
      </c>
      <c r="C8" s="8" t="s">
        <v>139</v>
      </c>
      <c r="D8" s="8" t="s">
        <v>187</v>
      </c>
      <c r="E8" s="24" t="s">
        <v>173</v>
      </c>
      <c r="F8" s="8" t="s">
        <v>188</v>
      </c>
      <c r="G8" s="24" t="s">
        <v>173</v>
      </c>
      <c r="H8" s="42"/>
      <c r="I8" s="8" t="s">
        <v>176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2026-03-20T19:18:40Z</dcterms:created>
  <dc:creator>openpyxl</dc:creator>
  <dc:description/>
  <dc:language>en-US</dc:language>
  <cp:lastModifiedBy/>
  <dcterms:modified xsi:type="dcterms:W3CDTF">2026-03-20T19:18:40Z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